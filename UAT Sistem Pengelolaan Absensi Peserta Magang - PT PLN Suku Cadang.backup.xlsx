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/>
  <mc:AlternateContent xmlns:mc="http://schemas.openxmlformats.org/markup-compatibility/2006">
    <mc:Choice Requires="x15">
      <x15ac:absPath xmlns:x15ac="http://schemas.microsoft.com/office/spreadsheetml/2010/11/ac" url="C:\Users\LENOVO\Downloads\Sistem_Absensi_PLNSC-main\"/>
    </mc:Choice>
  </mc:AlternateContent>
  <xr:revisionPtr revIDLastSave="0" documentId="13_ncr:1_{430D63AC-4D78-4AB1-A82F-E6906E528C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20" i="1"/>
  <c r="C119" i="1"/>
  <c r="C118" i="1"/>
</calcChain>
</file>

<file path=xl/sharedStrings.xml><?xml version="1.0" encoding="utf-8"?>
<sst xmlns="http://schemas.openxmlformats.org/spreadsheetml/2006/main" count="442" uniqueCount="304">
  <si>
    <t>Nama Proyek</t>
  </si>
  <si>
    <t>: Sistem Manajemen Pengelolaan Magang PLNSC</t>
  </si>
  <si>
    <t>Perihal</t>
  </si>
  <si>
    <t>Waktu Pelaksanaan</t>
  </si>
  <si>
    <t>Tempat</t>
  </si>
  <si>
    <t>DAFTAR HADIR</t>
  </si>
  <si>
    <t>Nama</t>
  </si>
  <si>
    <t>Institusi</t>
  </si>
  <si>
    <t xml:space="preserve">                                                   Jabatan</t>
  </si>
  <si>
    <t>Stakeholder 1</t>
  </si>
  <si>
    <t>Admin PLNSC</t>
  </si>
  <si>
    <t>PT. PLN Suku Cadang</t>
  </si>
  <si>
    <t>Administrator Sistem</t>
  </si>
  <si>
    <t>Stakeholder 2</t>
  </si>
  <si>
    <t>PIC HR Magang</t>
  </si>
  <si>
    <t>Business User</t>
  </si>
  <si>
    <t>Stakeholder 3</t>
  </si>
  <si>
    <t>Perwakilan Mentor</t>
  </si>
  <si>
    <t>Reviewer</t>
  </si>
  <si>
    <t>Stakeholder 4</t>
  </si>
  <si>
    <t>Peserta Magang</t>
  </si>
  <si>
    <t>User Representative</t>
  </si>
  <si>
    <t>UAT</t>
  </si>
  <si>
    <t>REKAP HASIL UAT</t>
  </si>
  <si>
    <t>Passed</t>
  </si>
  <si>
    <t>Bug</t>
  </si>
  <si>
    <t>Enhancement</t>
  </si>
  <si>
    <t>Total</t>
  </si>
  <si>
    <t>CATATAN DAN KESEPAKATAN</t>
  </si>
  <si>
    <t>Kategori</t>
  </si>
  <si>
    <t>Seluruh test case pada dokumen ini siap dieksekusi sesuai jadwal UAT.</t>
  </si>
  <si>
    <t>PJ</t>
  </si>
  <si>
    <t>Bug/temuan akan dicatat pada kolom catatan dan ditindaklanjuti pada retest.</t>
  </si>
  <si>
    <t>Dokumen ini menjadi acuan sign-off UAT setelah seluruh item kritis dinyatakan lulus.</t>
  </si>
  <si>
    <t>: User Acceptance Testing (UAT) Aplikasi Pengelolaan Magang PLNSC</t>
  </si>
  <si>
    <t>: April 2026</t>
  </si>
  <si>
    <t>User Acceptance Testing</t>
  </si>
  <si>
    <t>Sistem Manajemen Pengelolaan Magang PLNSC</t>
  </si>
  <si>
    <t>User : user@example.com</t>
  </si>
  <si>
    <t>Password : Steven_2026</t>
  </si>
  <si>
    <t>Admin : admin@example.com</t>
  </si>
  <si>
    <t>ROLE USER</t>
  </si>
  <si>
    <t>FITUR: Daftar Akun</t>
  </si>
  <si>
    <t>Daftar user berhasil</t>
  </si>
  <si>
    <t>Buka halaman daftar; isi data valid; submit</t>
  </si>
  <si>
    <t>Akun user berhasil dibuat</t>
  </si>
  <si>
    <t>Belum diuji</t>
  </si>
  <si>
    <t>Not Run</t>
  </si>
  <si>
    <t>Validasi pendaftaran gagal</t>
  </si>
  <si>
    <t>Isi data tidak valid atau password tidak sesuai; submit</t>
  </si>
  <si>
    <t>Muncul pesan validasi dan akun tidak dibuat</t>
  </si>
  <si>
    <t>FITUR: Login</t>
  </si>
  <si>
    <t>Login user berhasil</t>
  </si>
  <si>
    <t>Buka login; isi kredensial benar; klik Masuk</t>
  </si>
  <si>
    <t>Masuk ke halaman Kehadiran</t>
  </si>
  <si>
    <t>Login user gagal</t>
  </si>
  <si>
    <t>Isi kredensial salah; klik Masuk</t>
  </si>
  <si>
    <t>Muncul error login</t>
  </si>
  <si>
    <t>FITUR: Kehadiran</t>
  </si>
  <si>
    <t>Absen masuk</t>
  </si>
  <si>
    <t>Klik tombol Masuk</t>
  </si>
  <si>
    <t>Data attendance masuk tersimpan</t>
  </si>
  <si>
    <t>Absen pulang</t>
  </si>
  <si>
    <t>Setelah masuk, klik tombol Pulang</t>
  </si>
  <si>
    <t>Data pulang tersimpan</t>
  </si>
  <si>
    <t>Status terlambat tercatat</t>
  </si>
  <si>
    <t>Absen melewati jam ketentuan</t>
  </si>
  <si>
    <t>Status terlambat tercatat sesuai aturan</t>
  </si>
  <si>
    <t>FITUR: Riwayat Kehadiran</t>
  </si>
  <si>
    <t>Kalender bulanan tampil</t>
  </si>
  <si>
    <t>Buka Riwayat Kehadiran; pilih bulan</t>
  </si>
  <si>
    <t>Kalender tampil sesuai bulan</t>
  </si>
  <si>
    <t>Jam tampil pada tanggal</t>
  </si>
  <si>
    <t>Lihat tanggal yang memiliki data hadir</t>
  </si>
  <si>
    <t>Jam masuk atau pulang tampil pada chip</t>
  </si>
  <si>
    <t>Ekspor PDF bulanan</t>
  </si>
  <si>
    <t>Klik Ekspor PDF</t>
  </si>
  <si>
    <t>PDF berhasil diunduh</t>
  </si>
  <si>
    <t>Submenu Upload Draft Presensi</t>
  </si>
  <si>
    <t>Buka Upload Draft Presensi; unggah dokumen</t>
  </si>
  <si>
    <t>Dokumen draft tersimpan</t>
  </si>
  <si>
    <t>FITUR: Ketidakhadiran</t>
  </si>
  <si>
    <t>Ajukan Izin</t>
  </si>
  <si>
    <t>Buka Izin dan Sakit; pilih Izin; isi alasan; kirim</t>
  </si>
  <si>
    <t>Pengajuan pending tersimpan</t>
  </si>
  <si>
    <t>Ajukan Sakit</t>
  </si>
  <si>
    <t>Pilih Sakit; isi alasan; kirim</t>
  </si>
  <si>
    <t>Ajukan Lupa Absensi</t>
  </si>
  <si>
    <t>Buka Lupa Absensi; isi tanggal dan jam koreksi; kirim</t>
  </si>
  <si>
    <t>Pengajuan lupa absensi pending tersimpan</t>
  </si>
  <si>
    <t>Hasil keputusan admin tercermin</t>
  </si>
  <si>
    <t>Setelah approve atau reject admin, cek kalender</t>
  </si>
  <si>
    <t>Status berubah sesuai hasil keputusan</t>
  </si>
  <si>
    <t>FITUR: Laporan Magang</t>
  </si>
  <si>
    <t>Upload Laporan Bulanan</t>
  </si>
  <si>
    <t>Buka Laporan Bulanan; upload PDF</t>
  </si>
  <si>
    <t>Dokumen bulanan tersimpan</t>
  </si>
  <si>
    <t>Upload Laporan Akhir</t>
  </si>
  <si>
    <t>Buka Laporan Akhir; upload PDF</t>
  </si>
  <si>
    <t>Dokumen akhir tersimpan</t>
  </si>
  <si>
    <t>Akses template dokumen</t>
  </si>
  <si>
    <t>Klik lihat atau unduh template dari admin</t>
  </si>
  <si>
    <t>Template bisa dipreview atau diunduh</t>
  </si>
  <si>
    <t>FITUR: Profil</t>
  </si>
  <si>
    <t>Isi atau ubah foto profil</t>
  </si>
  <si>
    <t>Buka Profil; upload foto; simpan</t>
  </si>
  <si>
    <t>Foto profil tersimpan</t>
  </si>
  <si>
    <t>Isi atau ubah data profil</t>
  </si>
  <si>
    <t>Isi data profil termasuk divisi; simpan</t>
  </si>
  <si>
    <t>Data profil tersimpan dan mentor otomatis tampil</t>
  </si>
  <si>
    <t>FITUR: Logout</t>
  </si>
  <si>
    <t>Logout user berhasil</t>
  </si>
  <si>
    <t>Klik Keluar</t>
  </si>
  <si>
    <t>Kembali ke login tanpa 419</t>
  </si>
  <si>
    <t>ROLE ADMIN</t>
  </si>
  <si>
    <t>FITUR: Login Admin</t>
  </si>
  <si>
    <t>Login admin berhasil</t>
  </si>
  <si>
    <t>Buka login; isi kredensial admin benar</t>
  </si>
  <si>
    <t>Masuk ke dashboard admin</t>
  </si>
  <si>
    <t>Login admin gagal</t>
  </si>
  <si>
    <t>Isi kredensial salah</t>
  </si>
  <si>
    <t>FITUR: Dasbor Admin</t>
  </si>
  <si>
    <t>Dasbor tampil normal</t>
  </si>
  <si>
    <t>Buka halaman dasbor</t>
  </si>
  <si>
    <t>Komponen dasbor tampil normal</t>
  </si>
  <si>
    <t>Menu Jadwal tidak tampil</t>
  </si>
  <si>
    <t>Cek sidebar admin</t>
  </si>
  <si>
    <t>Menu Jadwal tidak terlihat di sidebar</t>
  </si>
  <si>
    <t>FITUR: Peserta Magang</t>
  </si>
  <si>
    <t>List peserta ringkas tampil</t>
  </si>
  <si>
    <t>Buka menu Peserta Magang</t>
  </si>
  <si>
    <t>Kolom ringkas tampil sesuai kebutuhan</t>
  </si>
  <si>
    <t>Detail peserta terbuka</t>
  </si>
  <si>
    <t>Klik detail salah satu peserta</t>
  </si>
  <si>
    <t>Halaman detail peserta tampil</t>
  </si>
  <si>
    <t>Data peserta terbaca lengkap</t>
  </si>
  <si>
    <t>Periksa data pada halaman detail</t>
  </si>
  <si>
    <t>Data inti peserta tampil lengkap</t>
  </si>
  <si>
    <t>FITUR: Kehadiran dan Laporan Presensi</t>
  </si>
  <si>
    <t>Filter bulan dan user</t>
  </si>
  <si>
    <t>Buka Laporan Presensi; pilih bulan dan user</t>
  </si>
  <si>
    <t>Data tampil sesuai filter</t>
  </si>
  <si>
    <t>Kalender admin sinkron</t>
  </si>
  <si>
    <t>Bandingkan data absensi dengan kalender</t>
  </si>
  <si>
    <t>Kalender sinkron dengan data</t>
  </si>
  <si>
    <t>Ekspor PDF presensi</t>
  </si>
  <si>
    <t>Kode status PDF sesuai</t>
  </si>
  <si>
    <t>Uji data H T I S TK LH CB lalu ekspor</t>
  </si>
  <si>
    <t>Kode di PDF sesuai aturan</t>
  </si>
  <si>
    <t>FITUR: Ketidakhadiran Submenu</t>
  </si>
  <si>
    <t>Submenu Izin dan Sakit tampil</t>
  </si>
  <si>
    <t>Buka menu Ketidakhadiran</t>
  </si>
  <si>
    <t>Submenu Izin dan Sakit terlihat</t>
  </si>
  <si>
    <t>Approve Izin atau Sakit</t>
  </si>
  <si>
    <t>Klik Setujui pada pengajuan Izin/Sakit</t>
  </si>
  <si>
    <t>Status approved dan efek ke kalender user</t>
  </si>
  <si>
    <t>Reject Izin atau Sakit</t>
  </si>
  <si>
    <t>Klik Tolak pada pengajuan Izin/Sakit</t>
  </si>
  <si>
    <t>Status rejected dan terbaca TK</t>
  </si>
  <si>
    <t>Submenu Lupa Absensi tampil</t>
  </si>
  <si>
    <t>Buka submenu Lupa Absensi</t>
  </si>
  <si>
    <t>Daftar request lupa absensi tampil</t>
  </si>
  <si>
    <t>Approve Lupa Absensi</t>
  </si>
  <si>
    <t>Verifikasi lalu Setujui</t>
  </si>
  <si>
    <t>Data attendance atau leave terkoreksi</t>
  </si>
  <si>
    <t>Reject Lupa Absensi</t>
  </si>
  <si>
    <t>Klik Tolak</t>
  </si>
  <si>
    <t>Tidak ada koreksi data dibuat</t>
  </si>
  <si>
    <t>FITUR: Laporan Bulanan dan Akhir</t>
  </si>
  <si>
    <t>Lihat dokumen laporan user</t>
  </si>
  <si>
    <t>Buka daftar laporan; klik Lihat</t>
  </si>
  <si>
    <t>Dokumen tampil di preview</t>
  </si>
  <si>
    <t>Unduh dokumen laporan user</t>
  </si>
  <si>
    <t>Klik Download dokumen</t>
  </si>
  <si>
    <t>Dokumen berhasil diunduh</t>
  </si>
  <si>
    <t>FITUR: Draft Dokumen Magang</t>
  </si>
  <si>
    <t>Upload draft template</t>
  </si>
  <si>
    <t>Buka Draft Dokumen Magang; upload file</t>
  </si>
  <si>
    <t>Template tersimpan</t>
  </si>
  <si>
    <t>Preview draft template</t>
  </si>
  <si>
    <t>Klik Lihat template</t>
  </si>
  <si>
    <t>Template tampil di preview</t>
  </si>
  <si>
    <t>Download draft template</t>
  </si>
  <si>
    <t>Klik Download template</t>
  </si>
  <si>
    <t>Template berhasil diunduh</t>
  </si>
  <si>
    <t>Template muncul di user</t>
  </si>
  <si>
    <t>Login user dan cek halaman laporan</t>
  </si>
  <si>
    <t>Template admin tersedia di user</t>
  </si>
  <si>
    <t>FITUR: Master Data Peralatan</t>
  </si>
  <si>
    <t>Kelola Divisi</t>
  </si>
  <si>
    <t>Tambah atau ubah atau hapus divisi</t>
  </si>
  <si>
    <t>Perubahan data divisi tersimpan</t>
  </si>
  <si>
    <t>Kelola Mentor</t>
  </si>
  <si>
    <t>Tambah atau ubah atau hapus mentor</t>
  </si>
  <si>
    <t>Perubahan data mentor tersimpan</t>
  </si>
  <si>
    <t>Kelola Cuti Nasional LH dan CB</t>
  </si>
  <si>
    <t>Tambah atau ubah atau hapus hari libur</t>
  </si>
  <si>
    <t>Data libur memengaruhi kalender dan PDF</t>
  </si>
  <si>
    <t>Logout admin berhasil</t>
  </si>
  <si>
    <t>Klik logout di header admin</t>
  </si>
  <si>
    <t>FITUR: Keamanan</t>
  </si>
  <si>
    <t>Policy password aktif</t>
  </si>
  <si>
    <t>Coba register atau reset dengan password lemah</t>
  </si>
  <si>
    <t>Sistem menolak password tidak sesuai policy</t>
  </si>
  <si>
    <t>Session timeout ter-handle</t>
  </si>
  <si>
    <t>Diamkan sesi sampai timeout lalu kirim request</t>
  </si>
  <si>
    <t>Diarahkan login ulang tanpa error fatal</t>
  </si>
  <si>
    <t>Akses route admin oleh user ditolak</t>
  </si>
  <si>
    <t>Login user lalu akses URL admin</t>
  </si>
  <si>
    <t>Akses ditolak atau redirect</t>
  </si>
  <si>
    <t>Akses fitur tanpa login ditolak</t>
  </si>
  <si>
    <t>Logout lalu akses URL internal langsung</t>
  </si>
  <si>
    <t>Diarahkan ke halaman login</t>
  </si>
  <si>
    <t>Kasus Uji</t>
  </si>
  <si>
    <t>Langkah Pengujian</t>
  </si>
  <si>
    <t>Hasil yang Diharapkan</t>
  </si>
  <si>
    <t>Hasil Aktual</t>
  </si>
  <si>
    <t>Status</t>
  </si>
  <si>
    <t>Catatan</t>
  </si>
  <si>
    <t xml:space="preserve"> Notes &amp; Agreement</t>
  </si>
  <si>
    <t>: PLN Suku Cadang</t>
  </si>
  <si>
    <t>FITUR: Daftar Magang</t>
  </si>
  <si>
    <t>Buka landing page pendaftaran</t>
  </si>
  <si>
    <t>Submit formulir magang mahasiswa berhasil</t>
  </si>
  <si>
    <t>Submit formulir magang fresh graduate berhasil</t>
  </si>
  <si>
    <t>Validasi dokumen pendaftaran magang</t>
  </si>
  <si>
    <t>Cek status pendaftaran magang</t>
  </si>
  <si>
    <t>Detail wawancara tampil untuk status Wawancara</t>
  </si>
  <si>
    <t>Nama file dokumen pendaftaran tampil benar</t>
  </si>
  <si>
    <t>Isi form magang jenis Fresh Graduate lengkap + upload dokumen wajib; submit</t>
  </si>
  <si>
    <t>Upload file non-PDF atau melebihi ukuran; submit</t>
  </si>
  <si>
    <t>Buka menu/status pendaftaran; masukkan email pendaftar</t>
  </si>
  <si>
    <t>Admin set status Wawancara, lalu user cek status</t>
  </si>
  <si>
    <t>Upload dokumen pendaftaran lalu cek ringkasan/detail dokumen</t>
  </si>
  <si>
    <t>Halaman landing pendaftaran magang tampil normal</t>
  </si>
  <si>
    <t> Muncul pesan validasi dan akun tidak dibuat</t>
  </si>
  <si>
    <t>Data pendaftar tersimpan status Menunggu</t>
  </si>
  <si>
    <t>Muncul pesan validasi file, data tidak tersimpan</t>
  </si>
  <si>
    <t> Status Menunggu/Wawancara/Diterima/Ditolak tampil sesuai data admin</t>
  </si>
  <si>
    <t>Tanggal, jam, lokasi/link wawancara tampil di halaman status user</t>
  </si>
  <si>
    <t> Nama file yang tampil sesuai nama asli file upload user (bukan hash random)</t>
  </si>
  <si>
    <t>Akses URL utama aplikasi (sebelum login)</t>
  </si>
  <si>
    <t>Isi form magang jenis Mahasiswa lengkap + upload dokumen wajib; submit</t>
  </si>
  <si>
    <t>No.</t>
  </si>
  <si>
    <t>UAT-U001</t>
  </si>
  <si>
    <t>UAT-U002</t>
  </si>
  <si>
    <t>UAT-U003</t>
  </si>
  <si>
    <t>UAT-U004</t>
  </si>
  <si>
    <t>UAT-U005</t>
  </si>
  <si>
    <t>UAT-U006</t>
  </si>
  <si>
    <t>UAT-U007</t>
  </si>
  <si>
    <t>UAT-U008</t>
  </si>
  <si>
    <t>UAT-U009</t>
  </si>
  <si>
    <t>UAT-U010</t>
  </si>
  <si>
    <t>UAT-U011</t>
  </si>
  <si>
    <t>UAT-U012</t>
  </si>
  <si>
    <t>UAT-U013</t>
  </si>
  <si>
    <t>UAT-U014</t>
  </si>
  <si>
    <t>UAT-U015</t>
  </si>
  <si>
    <t>UAT-U016</t>
  </si>
  <si>
    <t>UAT-U017</t>
  </si>
  <si>
    <t>UAT-U018</t>
  </si>
  <si>
    <t>UAT-U019</t>
  </si>
  <si>
    <t>UAT-U020</t>
  </si>
  <si>
    <t>UAT-U021</t>
  </si>
  <si>
    <t>UAT-U023</t>
  </si>
  <si>
    <t>UAT-U024</t>
  </si>
  <si>
    <t>UAT-U025</t>
  </si>
  <si>
    <t>UAT-U026</t>
  </si>
  <si>
    <t>UAT-U027</t>
  </si>
  <si>
    <t>UAT-U028</t>
  </si>
  <si>
    <t>UAT-U029</t>
  </si>
  <si>
    <t>UAT-A001</t>
  </si>
  <si>
    <t>UAT-A002</t>
  </si>
  <si>
    <t>UAT-A003</t>
  </si>
  <si>
    <t>UAT-A004</t>
  </si>
  <si>
    <t>UAT-A005</t>
  </si>
  <si>
    <t>UAT-A006</t>
  </si>
  <si>
    <t>UAT-A007</t>
  </si>
  <si>
    <t>UAT-A008</t>
  </si>
  <si>
    <t>UAT-A009</t>
  </si>
  <si>
    <t>UAT-A010</t>
  </si>
  <si>
    <t>UAT-A011</t>
  </si>
  <si>
    <t>UAT-A012</t>
  </si>
  <si>
    <t>UAT-A013</t>
  </si>
  <si>
    <t>UAT-A014</t>
  </si>
  <si>
    <t>UAT-A015</t>
  </si>
  <si>
    <t>UAT-A016</t>
  </si>
  <si>
    <t>UAT-A017</t>
  </si>
  <si>
    <t>UAT-A018</t>
  </si>
  <si>
    <t>UAT-A019</t>
  </si>
  <si>
    <t>UAT-A020</t>
  </si>
  <si>
    <t>UAT-A021</t>
  </si>
  <si>
    <t>UAT-A022</t>
  </si>
  <si>
    <t>UAT-A023</t>
  </si>
  <si>
    <t>UAT-A024</t>
  </si>
  <si>
    <t>UAT-A025</t>
  </si>
  <si>
    <t>UAT-A026</t>
  </si>
  <si>
    <t>UAT-A027</t>
  </si>
  <si>
    <t>UAT-A028</t>
  </si>
  <si>
    <t>UAT-AO29</t>
  </si>
  <si>
    <t>UAT-A030</t>
  </si>
  <si>
    <t>UAT-A031</t>
  </si>
  <si>
    <t>UAT-U030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</si>
</sst>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rgb="FF00206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7"/>
      <name val="Times New Roman"/>
      <family val="1"/>
    </font>
    <font>
      <b/>
      <sz val="20"/>
      <name val="Times New Roman"/>
      <family val="1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quotePrefix="1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" xfId="0" applyFont="1" applyBorder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quotePrefix="1" applyFont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/>
    </xf>
    <xf numFmtId="0" fontId="1" fillId="0" borderId="11" xfId="0" quotePrefix="1" applyFont="1" applyFill="1" applyBorder="1" applyAlignment="1">
      <alignment vertical="center" wrapText="1"/>
    </xf>
    <xf numFmtId="0" fontId="11" fillId="0" borderId="11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vertical="center" wrapText="1" readingOrder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/>
    <xf numFmtId="0" fontId="1" fillId="0" borderId="8" xfId="0" applyFont="1" applyBorder="1" applyAlignment="1"/>
    <xf numFmtId="0" fontId="1" fillId="0" borderId="8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1" fillId="0" borderId="19" xfId="0" quotePrefix="1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16" xfId="0" applyFont="1" applyBorder="1" applyAlignment="1">
      <alignment vertical="center" wrapText="1"/>
    </xf>
    <xf numFmtId="0" fontId="6" fillId="0" borderId="2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quotePrefix="1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7" fillId="0" borderId="20" xfId="0" applyFont="1" applyBorder="1" applyAlignment="1">
      <alignment vertical="center"/>
    </xf>
    <xf numFmtId="0" fontId="3" fillId="0" borderId="20" xfId="0" applyFont="1" applyBorder="1"/>
    <xf numFmtId="0" fontId="1" fillId="0" borderId="21" xfId="0" applyFont="1" applyBorder="1" applyAlignment="1">
      <alignment wrapText="1"/>
    </xf>
    <xf numFmtId="0" fontId="3" fillId="0" borderId="17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" fillId="0" borderId="22" xfId="0" quotePrefix="1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1" fillId="0" borderId="18" xfId="0" applyFont="1" applyBorder="1" applyAlignment="1">
      <alignment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0"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J143"/>
  <sheetViews>
    <sheetView showGridLines="0" tabSelected="1" topLeftCell="A34" zoomScale="85" zoomScaleNormal="85" workbookViewId="0">
      <selection activeCell="C118" sqref="C118"/>
    </sheetView>
  </sheetViews>
  <sheetFormatPr defaultColWidth="9" defaultRowHeight="15" x14ac:dyDescent="0.25"/>
  <cols>
    <col min="1" max="1" width="9" style="1" customWidth="1"/>
    <col min="2" max="2" width="30.375" style="1" bestFit="1" customWidth="1"/>
    <col min="3" max="3" width="23.375" style="1" bestFit="1" customWidth="1"/>
    <col min="4" max="4" width="61.75" style="1" bestFit="1" customWidth="1"/>
    <col min="5" max="5" width="71.375" style="1" bestFit="1" customWidth="1"/>
    <col min="6" max="6" width="59" style="1" bestFit="1" customWidth="1"/>
    <col min="7" max="7" width="33" style="2" customWidth="1"/>
    <col min="8" max="8" width="12.875" style="1" customWidth="1"/>
    <col min="9" max="9" width="28.875" style="2" customWidth="1"/>
    <col min="10" max="16384" width="9" style="1"/>
  </cols>
  <sheetData>
    <row r="1" spans="2:9" ht="26.25" customHeight="1" x14ac:dyDescent="0.25">
      <c r="E1" s="28" t="s">
        <v>36</v>
      </c>
    </row>
    <row r="2" spans="2:9" ht="26.25" customHeight="1" x14ac:dyDescent="0.35">
      <c r="E2" s="27" t="s">
        <v>37</v>
      </c>
    </row>
    <row r="3" spans="2:9" ht="26.25" customHeight="1" x14ac:dyDescent="0.25"/>
    <row r="4" spans="2:9" ht="26.25" customHeight="1" x14ac:dyDescent="0.35">
      <c r="F4" s="3"/>
    </row>
    <row r="6" spans="2:9" x14ac:dyDescent="0.25">
      <c r="B6" s="1" t="s">
        <v>0</v>
      </c>
      <c r="D6" s="1" t="s">
        <v>1</v>
      </c>
    </row>
    <row r="7" spans="2:9" x14ac:dyDescent="0.25">
      <c r="B7" s="1" t="s">
        <v>2</v>
      </c>
      <c r="D7" s="1" t="s">
        <v>34</v>
      </c>
    </row>
    <row r="8" spans="2:9" x14ac:dyDescent="0.25">
      <c r="B8" s="1" t="s">
        <v>3</v>
      </c>
      <c r="D8" s="1" t="s">
        <v>35</v>
      </c>
    </row>
    <row r="9" spans="2:9" x14ac:dyDescent="0.25">
      <c r="B9" s="1" t="s">
        <v>4</v>
      </c>
      <c r="D9" s="1" t="s">
        <v>220</v>
      </c>
    </row>
    <row r="12" spans="2:9" x14ac:dyDescent="0.25">
      <c r="B12" s="4" t="s">
        <v>5</v>
      </c>
    </row>
    <row r="14" spans="2:9" s="11" customFormat="1" ht="26.25" customHeight="1" x14ac:dyDescent="0.2">
      <c r="B14" s="5"/>
      <c r="C14" s="6" t="s">
        <v>6</v>
      </c>
      <c r="D14" s="6"/>
      <c r="E14" s="7" t="s">
        <v>7</v>
      </c>
      <c r="F14" s="8" t="s">
        <v>8</v>
      </c>
      <c r="G14" s="9"/>
      <c r="H14" s="6"/>
      <c r="I14" s="10"/>
    </row>
    <row r="15" spans="2:9" x14ac:dyDescent="0.25">
      <c r="B15" s="12" t="s">
        <v>9</v>
      </c>
      <c r="C15" s="62" t="s">
        <v>10</v>
      </c>
      <c r="D15" s="63"/>
      <c r="E15" s="14" t="s">
        <v>11</v>
      </c>
      <c r="F15" s="13" t="s">
        <v>12</v>
      </c>
      <c r="G15" s="15"/>
      <c r="H15" s="13"/>
      <c r="I15" s="16"/>
    </row>
    <row r="16" spans="2:9" x14ac:dyDescent="0.25">
      <c r="B16" s="12" t="s">
        <v>13</v>
      </c>
      <c r="C16" s="40" t="s">
        <v>14</v>
      </c>
      <c r="D16" s="41"/>
      <c r="E16" s="14" t="s">
        <v>11</v>
      </c>
      <c r="F16" s="13" t="s">
        <v>15</v>
      </c>
      <c r="G16" s="15"/>
      <c r="H16" s="13"/>
      <c r="I16" s="16"/>
    </row>
    <row r="17" spans="2:10" x14ac:dyDescent="0.25">
      <c r="B17" s="12" t="s">
        <v>16</v>
      </c>
      <c r="C17" s="62" t="s">
        <v>17</v>
      </c>
      <c r="D17" s="63"/>
      <c r="E17" s="14" t="s">
        <v>11</v>
      </c>
      <c r="F17" s="13" t="s">
        <v>18</v>
      </c>
      <c r="G17" s="15"/>
      <c r="H17" s="13"/>
      <c r="I17" s="16"/>
    </row>
    <row r="18" spans="2:10" x14ac:dyDescent="0.25">
      <c r="B18" s="12" t="s">
        <v>19</v>
      </c>
      <c r="C18" s="62" t="s">
        <v>20</v>
      </c>
      <c r="D18" s="63"/>
      <c r="E18" s="17" t="s">
        <v>20</v>
      </c>
      <c r="F18" s="13" t="s">
        <v>21</v>
      </c>
      <c r="G18" s="15"/>
      <c r="H18" s="13"/>
      <c r="I18" s="16"/>
    </row>
    <row r="20" spans="2:10" x14ac:dyDescent="0.25">
      <c r="B20" s="4" t="s">
        <v>22</v>
      </c>
    </row>
    <row r="22" spans="2:10" x14ac:dyDescent="0.25">
      <c r="B22" s="1" t="s">
        <v>219</v>
      </c>
    </row>
    <row r="24" spans="2:10" x14ac:dyDescent="0.25">
      <c r="B24" s="19"/>
      <c r="C24" s="51" t="s">
        <v>38</v>
      </c>
      <c r="D24" s="52"/>
    </row>
    <row r="25" spans="2:10" x14ac:dyDescent="0.25">
      <c r="B25" s="19"/>
      <c r="C25" s="53" t="s">
        <v>39</v>
      </c>
      <c r="D25" s="54"/>
    </row>
    <row r="26" spans="2:10" x14ac:dyDescent="0.25">
      <c r="B26" s="19"/>
    </row>
    <row r="27" spans="2:10" ht="19.5" customHeight="1" x14ac:dyDescent="0.25"/>
    <row r="28" spans="2:10" ht="16.5" customHeight="1" x14ac:dyDescent="0.25">
      <c r="C28" s="55" t="s">
        <v>40</v>
      </c>
      <c r="D28" s="56"/>
    </row>
    <row r="29" spans="2:10" s="19" customFormat="1" ht="18" customHeight="1" x14ac:dyDescent="0.2">
      <c r="C29" s="57" t="s">
        <v>39</v>
      </c>
      <c r="D29" s="58"/>
    </row>
    <row r="30" spans="2:10" s="19" customFormat="1" ht="30" customHeight="1" x14ac:dyDescent="0.2"/>
    <row r="31" spans="2:10" s="19" customFormat="1" ht="29.25" customHeight="1" x14ac:dyDescent="0.2">
      <c r="J31" s="22"/>
    </row>
    <row r="32" spans="2:10" s="19" customFormat="1" ht="30" customHeight="1" x14ac:dyDescent="0.2">
      <c r="J32" s="22"/>
    </row>
    <row r="33" spans="2:10" s="19" customFormat="1" ht="30" customHeight="1" x14ac:dyDescent="0.2">
      <c r="C33" s="21" t="s">
        <v>243</v>
      </c>
      <c r="D33" s="21" t="s">
        <v>213</v>
      </c>
      <c r="E33" s="21" t="s">
        <v>214</v>
      </c>
      <c r="F33" s="21" t="s">
        <v>215</v>
      </c>
      <c r="G33" s="21" t="s">
        <v>216</v>
      </c>
      <c r="H33" s="21" t="s">
        <v>217</v>
      </c>
      <c r="I33" s="21" t="s">
        <v>218</v>
      </c>
    </row>
    <row r="34" spans="2:10" s="19" customFormat="1" ht="26.25" customHeight="1" x14ac:dyDescent="0.2">
      <c r="C34" s="64" t="s">
        <v>41</v>
      </c>
      <c r="D34" s="65"/>
      <c r="E34" s="65"/>
      <c r="F34" s="65"/>
      <c r="G34" s="65"/>
      <c r="H34" s="65"/>
      <c r="I34" s="66"/>
    </row>
    <row r="35" spans="2:10" s="19" customFormat="1" ht="30" customHeight="1" x14ac:dyDescent="0.2">
      <c r="C35" s="64" t="s">
        <v>221</v>
      </c>
      <c r="D35" s="65"/>
      <c r="E35" s="65"/>
      <c r="F35" s="65"/>
      <c r="G35" s="65"/>
      <c r="H35" s="65"/>
      <c r="I35" s="66"/>
    </row>
    <row r="36" spans="2:10" s="19" customFormat="1" ht="30" customHeight="1" x14ac:dyDescent="0.2">
      <c r="C36" s="49" t="s">
        <v>244</v>
      </c>
      <c r="D36" s="49" t="s">
        <v>222</v>
      </c>
      <c r="E36" s="49" t="s">
        <v>241</v>
      </c>
      <c r="F36" s="49" t="s">
        <v>234</v>
      </c>
      <c r="G36" s="32" t="s">
        <v>46</v>
      </c>
      <c r="H36" s="33" t="s">
        <v>47</v>
      </c>
      <c r="I36" s="49"/>
    </row>
    <row r="37" spans="2:10" s="19" customFormat="1" ht="30" customHeight="1" x14ac:dyDescent="0.25">
      <c r="B37" s="1"/>
      <c r="C37" s="49" t="s">
        <v>245</v>
      </c>
      <c r="D37" s="50" t="s">
        <v>43</v>
      </c>
      <c r="E37" s="49" t="s">
        <v>44</v>
      </c>
      <c r="F37" s="49" t="s">
        <v>45</v>
      </c>
      <c r="G37" s="32" t="s">
        <v>46</v>
      </c>
      <c r="H37" s="33" t="s">
        <v>47</v>
      </c>
      <c r="I37" s="49"/>
      <c r="J37" s="22"/>
    </row>
    <row r="38" spans="2:10" s="19" customFormat="1" ht="30" customHeight="1" x14ac:dyDescent="0.25">
      <c r="B38" s="1"/>
      <c r="C38" s="49" t="s">
        <v>246</v>
      </c>
      <c r="D38" s="50" t="s">
        <v>48</v>
      </c>
      <c r="E38" s="49" t="s">
        <v>49</v>
      </c>
      <c r="F38" s="49" t="s">
        <v>235</v>
      </c>
      <c r="G38" s="32" t="s">
        <v>46</v>
      </c>
      <c r="H38" s="33" t="s">
        <v>47</v>
      </c>
      <c r="I38" s="49"/>
    </row>
    <row r="39" spans="2:10" s="19" customFormat="1" ht="30" customHeight="1" x14ac:dyDescent="0.2">
      <c r="C39" s="49" t="s">
        <v>247</v>
      </c>
      <c r="D39" s="50" t="s">
        <v>223</v>
      </c>
      <c r="E39" s="49" t="s">
        <v>242</v>
      </c>
      <c r="F39" s="49" t="s">
        <v>236</v>
      </c>
      <c r="G39" s="32" t="s">
        <v>46</v>
      </c>
      <c r="H39" s="33" t="s">
        <v>47</v>
      </c>
      <c r="I39" s="49"/>
    </row>
    <row r="40" spans="2:10" s="19" customFormat="1" ht="30" customHeight="1" x14ac:dyDescent="0.2">
      <c r="C40" s="49" t="s">
        <v>248</v>
      </c>
      <c r="D40" s="50" t="s">
        <v>224</v>
      </c>
      <c r="E40" s="49" t="s">
        <v>229</v>
      </c>
      <c r="F40" s="49" t="s">
        <v>236</v>
      </c>
      <c r="G40" s="32" t="s">
        <v>46</v>
      </c>
      <c r="H40" s="33" t="s">
        <v>47</v>
      </c>
      <c r="I40" s="49"/>
    </row>
    <row r="41" spans="2:10" s="19" customFormat="1" ht="30" customHeight="1" x14ac:dyDescent="0.2">
      <c r="C41" s="48" t="s">
        <v>249</v>
      </c>
      <c r="D41" s="48" t="s">
        <v>225</v>
      </c>
      <c r="E41" s="49" t="s">
        <v>230</v>
      </c>
      <c r="F41" s="49" t="s">
        <v>237</v>
      </c>
      <c r="G41" s="32" t="s">
        <v>46</v>
      </c>
      <c r="H41" s="33" t="s">
        <v>47</v>
      </c>
      <c r="I41" s="48"/>
    </row>
    <row r="42" spans="2:10" s="19" customFormat="1" ht="30" customHeight="1" x14ac:dyDescent="0.2">
      <c r="C42" s="48" t="s">
        <v>250</v>
      </c>
      <c r="D42" s="48" t="s">
        <v>226</v>
      </c>
      <c r="E42" s="49" t="s">
        <v>231</v>
      </c>
      <c r="F42" s="49" t="s">
        <v>238</v>
      </c>
      <c r="G42" s="32" t="s">
        <v>46</v>
      </c>
      <c r="H42" s="33" t="s">
        <v>47</v>
      </c>
      <c r="I42" s="48"/>
    </row>
    <row r="43" spans="2:10" s="19" customFormat="1" ht="30" customHeight="1" x14ac:dyDescent="0.2">
      <c r="C43" s="48" t="s">
        <v>251</v>
      </c>
      <c r="D43" s="48" t="s">
        <v>227</v>
      </c>
      <c r="E43" s="49" t="s">
        <v>232</v>
      </c>
      <c r="F43" s="49" t="s">
        <v>239</v>
      </c>
      <c r="G43" s="32" t="s">
        <v>46</v>
      </c>
      <c r="H43" s="33" t="s">
        <v>47</v>
      </c>
      <c r="I43" s="48"/>
    </row>
    <row r="44" spans="2:10" s="19" customFormat="1" ht="30" customHeight="1" x14ac:dyDescent="0.2">
      <c r="C44" s="48" t="s">
        <v>252</v>
      </c>
      <c r="D44" s="48" t="s">
        <v>228</v>
      </c>
      <c r="E44" s="49" t="s">
        <v>233</v>
      </c>
      <c r="F44" s="49" t="s">
        <v>240</v>
      </c>
      <c r="G44" s="32" t="s">
        <v>46</v>
      </c>
      <c r="H44" s="33" t="s">
        <v>47</v>
      </c>
      <c r="I44" s="48"/>
    </row>
    <row r="45" spans="2:10" s="19" customFormat="1" ht="30" customHeight="1" x14ac:dyDescent="0.2">
      <c r="B45" s="30"/>
      <c r="C45" s="67" t="s">
        <v>42</v>
      </c>
      <c r="D45" s="68"/>
      <c r="E45" s="68"/>
      <c r="F45" s="68"/>
      <c r="G45" s="68"/>
      <c r="H45" s="68"/>
      <c r="I45" s="69"/>
    </row>
    <row r="46" spans="2:10" s="19" customFormat="1" ht="30" customHeight="1" x14ac:dyDescent="0.2">
      <c r="B46" s="29"/>
      <c r="C46" s="31" t="s">
        <v>253</v>
      </c>
      <c r="D46" s="31" t="s">
        <v>43</v>
      </c>
      <c r="E46" s="31" t="s">
        <v>44</v>
      </c>
      <c r="F46" s="31" t="s">
        <v>45</v>
      </c>
      <c r="G46" s="32" t="s">
        <v>46</v>
      </c>
      <c r="H46" s="33" t="s">
        <v>47</v>
      </c>
      <c r="I46" s="31"/>
    </row>
    <row r="47" spans="2:10" s="19" customFormat="1" ht="30" customHeight="1" x14ac:dyDescent="0.2">
      <c r="B47" s="29"/>
      <c r="C47" s="31" t="s">
        <v>254</v>
      </c>
      <c r="D47" s="31" t="s">
        <v>48</v>
      </c>
      <c r="E47" s="31" t="s">
        <v>49</v>
      </c>
      <c r="F47" s="31" t="s">
        <v>50</v>
      </c>
      <c r="G47" s="32" t="s">
        <v>46</v>
      </c>
      <c r="H47" s="33" t="s">
        <v>47</v>
      </c>
      <c r="I47" s="32"/>
    </row>
    <row r="48" spans="2:10" s="19" customFormat="1" ht="30" customHeight="1" x14ac:dyDescent="0.2">
      <c r="B48" s="30"/>
      <c r="C48" s="67" t="s">
        <v>51</v>
      </c>
      <c r="D48" s="68"/>
      <c r="E48" s="68"/>
      <c r="F48" s="68"/>
      <c r="G48" s="68"/>
      <c r="H48" s="68"/>
      <c r="I48" s="69"/>
    </row>
    <row r="49" spans="2:9" s="19" customFormat="1" ht="30" customHeight="1" x14ac:dyDescent="0.2">
      <c r="B49" s="29"/>
      <c r="C49" s="35" t="s">
        <v>255</v>
      </c>
      <c r="D49" s="36" t="s">
        <v>52</v>
      </c>
      <c r="E49" s="36" t="s">
        <v>53</v>
      </c>
      <c r="F49" s="36" t="s">
        <v>54</v>
      </c>
      <c r="G49" s="32" t="s">
        <v>46</v>
      </c>
      <c r="H49" s="33" t="s">
        <v>47</v>
      </c>
      <c r="I49" s="37"/>
    </row>
    <row r="50" spans="2:9" s="19" customFormat="1" ht="30" customHeight="1" x14ac:dyDescent="0.2">
      <c r="B50" s="29"/>
      <c r="C50" s="31" t="s">
        <v>256</v>
      </c>
      <c r="D50" s="38" t="s">
        <v>55</v>
      </c>
      <c r="E50" s="38" t="s">
        <v>56</v>
      </c>
      <c r="F50" s="38" t="s">
        <v>57</v>
      </c>
      <c r="G50" s="32" t="s">
        <v>46</v>
      </c>
      <c r="H50" s="33" t="s">
        <v>47</v>
      </c>
      <c r="I50" s="32"/>
    </row>
    <row r="51" spans="2:9" s="19" customFormat="1" ht="30" customHeight="1" x14ac:dyDescent="0.2">
      <c r="B51" s="30"/>
      <c r="C51" s="67" t="s">
        <v>58</v>
      </c>
      <c r="D51" s="68"/>
      <c r="E51" s="68"/>
      <c r="F51" s="68"/>
      <c r="G51" s="68"/>
      <c r="H51" s="68"/>
      <c r="I51" s="69"/>
    </row>
    <row r="52" spans="2:9" s="19" customFormat="1" ht="30" customHeight="1" x14ac:dyDescent="0.2">
      <c r="B52" s="29"/>
      <c r="C52" s="31" t="s">
        <v>256</v>
      </c>
      <c r="D52" s="32" t="s">
        <v>59</v>
      </c>
      <c r="E52" s="34" t="s">
        <v>60</v>
      </c>
      <c r="F52" s="32" t="s">
        <v>61</v>
      </c>
      <c r="G52" s="32" t="s">
        <v>46</v>
      </c>
      <c r="H52" s="33" t="s">
        <v>47</v>
      </c>
      <c r="I52" s="32"/>
    </row>
    <row r="53" spans="2:9" s="19" customFormat="1" ht="30" customHeight="1" x14ac:dyDescent="0.2">
      <c r="B53" s="29"/>
      <c r="C53" s="31" t="s">
        <v>257</v>
      </c>
      <c r="D53" s="32" t="s">
        <v>62</v>
      </c>
      <c r="E53" s="34" t="s">
        <v>63</v>
      </c>
      <c r="F53" s="32" t="s">
        <v>64</v>
      </c>
      <c r="G53" s="32" t="s">
        <v>46</v>
      </c>
      <c r="H53" s="33" t="s">
        <v>47</v>
      </c>
      <c r="I53" s="32"/>
    </row>
    <row r="54" spans="2:9" s="19" customFormat="1" ht="30" customHeight="1" x14ac:dyDescent="0.2">
      <c r="B54" s="29"/>
      <c r="C54" s="31" t="s">
        <v>258</v>
      </c>
      <c r="D54" s="32" t="s">
        <v>65</v>
      </c>
      <c r="E54" s="34" t="s">
        <v>66</v>
      </c>
      <c r="F54" s="32" t="s">
        <v>67</v>
      </c>
      <c r="G54" s="32" t="s">
        <v>46</v>
      </c>
      <c r="H54" s="33" t="s">
        <v>47</v>
      </c>
      <c r="I54" s="32"/>
    </row>
    <row r="55" spans="2:9" s="19" customFormat="1" ht="30" customHeight="1" x14ac:dyDescent="0.2">
      <c r="B55" s="30"/>
      <c r="C55" s="67" t="s">
        <v>68</v>
      </c>
      <c r="D55" s="68"/>
      <c r="E55" s="68"/>
      <c r="F55" s="68"/>
      <c r="G55" s="68"/>
      <c r="H55" s="68"/>
      <c r="I55" s="69"/>
    </row>
    <row r="56" spans="2:9" s="19" customFormat="1" ht="30" customHeight="1" x14ac:dyDescent="0.2">
      <c r="B56" s="29"/>
      <c r="C56" s="31" t="s">
        <v>259</v>
      </c>
      <c r="D56" s="32" t="s">
        <v>69</v>
      </c>
      <c r="E56" s="34" t="s">
        <v>70</v>
      </c>
      <c r="F56" s="32" t="s">
        <v>71</v>
      </c>
      <c r="G56" s="32" t="s">
        <v>46</v>
      </c>
      <c r="H56" s="33" t="s">
        <v>47</v>
      </c>
      <c r="I56" s="32"/>
    </row>
    <row r="57" spans="2:9" s="19" customFormat="1" ht="30" customHeight="1" x14ac:dyDescent="0.2">
      <c r="B57" s="29"/>
      <c r="C57" s="31" t="s">
        <v>260</v>
      </c>
      <c r="D57" s="32" t="s">
        <v>72</v>
      </c>
      <c r="E57" s="34" t="s">
        <v>73</v>
      </c>
      <c r="F57" s="32" t="s">
        <v>74</v>
      </c>
      <c r="G57" s="32" t="s">
        <v>46</v>
      </c>
      <c r="H57" s="33" t="s">
        <v>47</v>
      </c>
      <c r="I57" s="32"/>
    </row>
    <row r="58" spans="2:9" s="19" customFormat="1" ht="30" customHeight="1" x14ac:dyDescent="0.2">
      <c r="B58" s="29"/>
      <c r="C58" s="31" t="s">
        <v>261</v>
      </c>
      <c r="D58" s="32" t="s">
        <v>75</v>
      </c>
      <c r="E58" s="34" t="s">
        <v>76</v>
      </c>
      <c r="F58" s="32" t="s">
        <v>77</v>
      </c>
      <c r="G58" s="32" t="s">
        <v>46</v>
      </c>
      <c r="H58" s="33" t="s">
        <v>47</v>
      </c>
      <c r="I58" s="32"/>
    </row>
    <row r="59" spans="2:9" s="19" customFormat="1" ht="30" customHeight="1" x14ac:dyDescent="0.2">
      <c r="B59" s="29"/>
      <c r="C59" s="31" t="s">
        <v>262</v>
      </c>
      <c r="D59" s="32" t="s">
        <v>78</v>
      </c>
      <c r="E59" s="34" t="s">
        <v>79</v>
      </c>
      <c r="F59" s="32" t="s">
        <v>80</v>
      </c>
      <c r="G59" s="32" t="s">
        <v>46</v>
      </c>
      <c r="H59" s="33" t="s">
        <v>47</v>
      </c>
      <c r="I59" s="32"/>
    </row>
    <row r="60" spans="2:9" s="19" customFormat="1" ht="30" customHeight="1" x14ac:dyDescent="0.2">
      <c r="B60" s="30"/>
      <c r="C60" s="67" t="s">
        <v>81</v>
      </c>
      <c r="D60" s="68"/>
      <c r="E60" s="68"/>
      <c r="F60" s="68"/>
      <c r="G60" s="68"/>
      <c r="H60" s="68"/>
      <c r="I60" s="69"/>
    </row>
    <row r="61" spans="2:9" s="19" customFormat="1" ht="30" customHeight="1" x14ac:dyDescent="0.2">
      <c r="B61" s="29"/>
      <c r="C61" s="31" t="s">
        <v>263</v>
      </c>
      <c r="D61" s="32" t="s">
        <v>82</v>
      </c>
      <c r="E61" s="34" t="s">
        <v>83</v>
      </c>
      <c r="F61" s="32" t="s">
        <v>84</v>
      </c>
      <c r="G61" s="32" t="s">
        <v>46</v>
      </c>
      <c r="H61" s="33" t="s">
        <v>47</v>
      </c>
      <c r="I61" s="32"/>
    </row>
    <row r="62" spans="2:9" s="19" customFormat="1" ht="30" customHeight="1" x14ac:dyDescent="0.2">
      <c r="B62" s="29"/>
      <c r="C62" s="31" t="s">
        <v>264</v>
      </c>
      <c r="D62" s="32" t="s">
        <v>85</v>
      </c>
      <c r="E62" s="34" t="s">
        <v>86</v>
      </c>
      <c r="F62" s="32" t="s">
        <v>84</v>
      </c>
      <c r="G62" s="32" t="s">
        <v>46</v>
      </c>
      <c r="H62" s="33" t="s">
        <v>47</v>
      </c>
      <c r="I62" s="32"/>
    </row>
    <row r="63" spans="2:9" s="19" customFormat="1" ht="30" customHeight="1" x14ac:dyDescent="0.2">
      <c r="B63" s="29"/>
      <c r="C63" s="31" t="s">
        <v>265</v>
      </c>
      <c r="D63" s="32" t="s">
        <v>87</v>
      </c>
      <c r="E63" s="34" t="s">
        <v>88</v>
      </c>
      <c r="F63" s="32" t="s">
        <v>89</v>
      </c>
      <c r="G63" s="32" t="s">
        <v>46</v>
      </c>
      <c r="H63" s="33" t="s">
        <v>47</v>
      </c>
      <c r="I63" s="32"/>
    </row>
    <row r="64" spans="2:9" s="19" customFormat="1" ht="30" customHeight="1" x14ac:dyDescent="0.2">
      <c r="B64" s="29"/>
      <c r="C64" s="31" t="s">
        <v>266</v>
      </c>
      <c r="D64" s="32" t="s">
        <v>90</v>
      </c>
      <c r="E64" s="34" t="s">
        <v>91</v>
      </c>
      <c r="F64" s="32" t="s">
        <v>92</v>
      </c>
      <c r="G64" s="32" t="s">
        <v>46</v>
      </c>
      <c r="H64" s="33" t="s">
        <v>47</v>
      </c>
      <c r="I64" s="32"/>
    </row>
    <row r="65" spans="2:9" s="19" customFormat="1" ht="30" customHeight="1" x14ac:dyDescent="0.2">
      <c r="B65" s="30"/>
      <c r="C65" s="67" t="s">
        <v>93</v>
      </c>
      <c r="D65" s="68"/>
      <c r="E65" s="68"/>
      <c r="F65" s="68"/>
      <c r="G65" s="68"/>
      <c r="H65" s="68"/>
      <c r="I65" s="69"/>
    </row>
    <row r="66" spans="2:9" s="19" customFormat="1" ht="30" customHeight="1" x14ac:dyDescent="0.2">
      <c r="B66" s="29"/>
      <c r="C66" s="31" t="s">
        <v>267</v>
      </c>
      <c r="D66" s="32" t="s">
        <v>94</v>
      </c>
      <c r="E66" s="34" t="s">
        <v>95</v>
      </c>
      <c r="F66" s="32" t="s">
        <v>96</v>
      </c>
      <c r="G66" s="32" t="s">
        <v>46</v>
      </c>
      <c r="H66" s="33" t="s">
        <v>47</v>
      </c>
      <c r="I66" s="32"/>
    </row>
    <row r="67" spans="2:9" s="19" customFormat="1" ht="29.25" customHeight="1" x14ac:dyDescent="0.2">
      <c r="B67" s="29"/>
      <c r="C67" s="31" t="s">
        <v>268</v>
      </c>
      <c r="D67" s="32" t="s">
        <v>97</v>
      </c>
      <c r="E67" s="34" t="s">
        <v>98</v>
      </c>
      <c r="F67" s="32" t="s">
        <v>99</v>
      </c>
      <c r="G67" s="32" t="s">
        <v>46</v>
      </c>
      <c r="H67" s="33" t="s">
        <v>47</v>
      </c>
      <c r="I67" s="32"/>
    </row>
    <row r="68" spans="2:9" s="19" customFormat="1" ht="27" customHeight="1" x14ac:dyDescent="0.2">
      <c r="B68" s="29"/>
      <c r="C68" s="31" t="s">
        <v>269</v>
      </c>
      <c r="D68" s="32" t="s">
        <v>100</v>
      </c>
      <c r="E68" s="34" t="s">
        <v>101</v>
      </c>
      <c r="F68" s="32" t="s">
        <v>102</v>
      </c>
      <c r="G68" s="32" t="s">
        <v>46</v>
      </c>
      <c r="H68" s="33" t="s">
        <v>47</v>
      </c>
      <c r="I68" s="32"/>
    </row>
    <row r="69" spans="2:9" s="19" customFormat="1" ht="25.5" customHeight="1" x14ac:dyDescent="0.2">
      <c r="B69" s="30"/>
      <c r="C69" s="67" t="s">
        <v>103</v>
      </c>
      <c r="D69" s="68"/>
      <c r="E69" s="68"/>
      <c r="F69" s="68"/>
      <c r="G69" s="68"/>
      <c r="H69" s="68"/>
      <c r="I69" s="69"/>
    </row>
    <row r="70" spans="2:9" s="19" customFormat="1" ht="24.75" customHeight="1" x14ac:dyDescent="0.2">
      <c r="B70" s="29"/>
      <c r="C70" s="31" t="s">
        <v>270</v>
      </c>
      <c r="D70" s="32" t="s">
        <v>104</v>
      </c>
      <c r="E70" s="34" t="s">
        <v>105</v>
      </c>
      <c r="F70" s="32" t="s">
        <v>106</v>
      </c>
      <c r="G70" s="32" t="s">
        <v>46</v>
      </c>
      <c r="H70" s="33" t="s">
        <v>47</v>
      </c>
      <c r="I70" s="32"/>
    </row>
    <row r="71" spans="2:9" s="19" customFormat="1" ht="24" customHeight="1" x14ac:dyDescent="0.2">
      <c r="B71" s="29"/>
      <c r="C71" s="31" t="s">
        <v>271</v>
      </c>
      <c r="D71" s="32" t="s">
        <v>107</v>
      </c>
      <c r="E71" s="34" t="s">
        <v>108</v>
      </c>
      <c r="F71" s="32" t="s">
        <v>109</v>
      </c>
      <c r="G71" s="32" t="s">
        <v>46</v>
      </c>
      <c r="H71" s="33" t="s">
        <v>47</v>
      </c>
      <c r="I71" s="32"/>
    </row>
    <row r="72" spans="2:9" s="19" customFormat="1" ht="24" customHeight="1" x14ac:dyDescent="0.2">
      <c r="B72" s="30"/>
      <c r="C72" s="67" t="s">
        <v>110</v>
      </c>
      <c r="D72" s="68"/>
      <c r="E72" s="68"/>
      <c r="F72" s="68"/>
      <c r="G72" s="68"/>
      <c r="H72" s="68"/>
      <c r="I72" s="69"/>
    </row>
    <row r="73" spans="2:9" s="19" customFormat="1" ht="24" customHeight="1" x14ac:dyDescent="0.2">
      <c r="B73" s="29"/>
      <c r="C73" s="31" t="s">
        <v>303</v>
      </c>
      <c r="D73" s="32" t="s">
        <v>111</v>
      </c>
      <c r="E73" s="34" t="s">
        <v>112</v>
      </c>
      <c r="F73" s="32" t="s">
        <v>113</v>
      </c>
      <c r="G73" s="32" t="s">
        <v>46</v>
      </c>
      <c r="H73" s="33" t="s">
        <v>47</v>
      </c>
      <c r="I73" s="32"/>
    </row>
    <row r="74" spans="2:9" s="19" customFormat="1" ht="23.25" customHeight="1" x14ac:dyDescent="0.2">
      <c r="B74" s="30"/>
      <c r="C74" s="64" t="s">
        <v>114</v>
      </c>
      <c r="D74" s="65"/>
      <c r="E74" s="65"/>
      <c r="F74" s="65"/>
      <c r="G74" s="65"/>
      <c r="H74" s="65"/>
      <c r="I74" s="66"/>
    </row>
    <row r="75" spans="2:9" s="19" customFormat="1" ht="23.25" customHeight="1" x14ac:dyDescent="0.2">
      <c r="B75" s="30"/>
      <c r="C75" s="67" t="s">
        <v>115</v>
      </c>
      <c r="D75" s="68"/>
      <c r="E75" s="68"/>
      <c r="F75" s="68"/>
      <c r="G75" s="68"/>
      <c r="H75" s="68"/>
      <c r="I75" s="69"/>
    </row>
    <row r="76" spans="2:9" s="19" customFormat="1" ht="24" customHeight="1" x14ac:dyDescent="0.2">
      <c r="B76" s="29"/>
      <c r="C76" s="31" t="s">
        <v>272</v>
      </c>
      <c r="D76" s="32" t="s">
        <v>116</v>
      </c>
      <c r="E76" s="34" t="s">
        <v>117</v>
      </c>
      <c r="F76" s="32" t="s">
        <v>118</v>
      </c>
      <c r="G76" s="32" t="s">
        <v>46</v>
      </c>
      <c r="H76" s="33" t="s">
        <v>47</v>
      </c>
      <c r="I76" s="32"/>
    </row>
    <row r="77" spans="2:9" s="19" customFormat="1" ht="24" customHeight="1" x14ac:dyDescent="0.2">
      <c r="B77" s="29"/>
      <c r="C77" s="31" t="s">
        <v>273</v>
      </c>
      <c r="D77" s="32" t="s">
        <v>119</v>
      </c>
      <c r="E77" s="34" t="s">
        <v>120</v>
      </c>
      <c r="F77" s="32" t="s">
        <v>57</v>
      </c>
      <c r="G77" s="32" t="s">
        <v>46</v>
      </c>
      <c r="H77" s="33" t="s">
        <v>47</v>
      </c>
      <c r="I77" s="32"/>
    </row>
    <row r="78" spans="2:9" s="19" customFormat="1" ht="24" customHeight="1" x14ac:dyDescent="0.2">
      <c r="B78" s="30"/>
      <c r="C78" s="67" t="s">
        <v>121</v>
      </c>
      <c r="D78" s="68"/>
      <c r="E78" s="68"/>
      <c r="F78" s="68"/>
      <c r="G78" s="68"/>
      <c r="H78" s="68"/>
      <c r="I78" s="69"/>
    </row>
    <row r="79" spans="2:9" s="19" customFormat="1" ht="24.75" customHeight="1" x14ac:dyDescent="0.2">
      <c r="B79" s="29"/>
      <c r="C79" s="31" t="s">
        <v>274</v>
      </c>
      <c r="D79" s="32" t="s">
        <v>122</v>
      </c>
      <c r="E79" s="34" t="s">
        <v>123</v>
      </c>
      <c r="F79" s="32" t="s">
        <v>124</v>
      </c>
      <c r="G79" s="32" t="s">
        <v>46</v>
      </c>
      <c r="H79" s="33" t="s">
        <v>47</v>
      </c>
      <c r="I79" s="32"/>
    </row>
    <row r="80" spans="2:9" s="19" customFormat="1" ht="24" customHeight="1" x14ac:dyDescent="0.2">
      <c r="B80" s="29"/>
      <c r="C80" s="31" t="s">
        <v>275</v>
      </c>
      <c r="D80" s="32" t="s">
        <v>125</v>
      </c>
      <c r="E80" s="34" t="s">
        <v>126</v>
      </c>
      <c r="F80" s="32" t="s">
        <v>127</v>
      </c>
      <c r="G80" s="32" t="s">
        <v>46</v>
      </c>
      <c r="H80" s="33" t="s">
        <v>47</v>
      </c>
      <c r="I80" s="32"/>
    </row>
    <row r="81" spans="2:9" s="19" customFormat="1" ht="24" customHeight="1" x14ac:dyDescent="0.2">
      <c r="B81" s="30"/>
      <c r="C81" s="67" t="s">
        <v>128</v>
      </c>
      <c r="D81" s="68"/>
      <c r="E81" s="68"/>
      <c r="F81" s="68"/>
      <c r="G81" s="68"/>
      <c r="H81" s="68"/>
      <c r="I81" s="69"/>
    </row>
    <row r="82" spans="2:9" s="19" customFormat="1" ht="24" customHeight="1" x14ac:dyDescent="0.2">
      <c r="B82" s="29"/>
      <c r="C82" s="31" t="s">
        <v>276</v>
      </c>
      <c r="D82" s="32" t="s">
        <v>129</v>
      </c>
      <c r="E82" s="34" t="s">
        <v>130</v>
      </c>
      <c r="F82" s="32" t="s">
        <v>131</v>
      </c>
      <c r="G82" s="32" t="s">
        <v>46</v>
      </c>
      <c r="H82" s="33" t="s">
        <v>47</v>
      </c>
      <c r="I82" s="32"/>
    </row>
    <row r="83" spans="2:9" s="19" customFormat="1" ht="24" customHeight="1" x14ac:dyDescent="0.2">
      <c r="B83" s="29"/>
      <c r="C83" s="31" t="s">
        <v>277</v>
      </c>
      <c r="D83" s="32" t="s">
        <v>132</v>
      </c>
      <c r="E83" s="34" t="s">
        <v>133</v>
      </c>
      <c r="F83" s="32" t="s">
        <v>134</v>
      </c>
      <c r="G83" s="32" t="s">
        <v>46</v>
      </c>
      <c r="H83" s="33" t="s">
        <v>47</v>
      </c>
      <c r="I83" s="32"/>
    </row>
    <row r="84" spans="2:9" s="19" customFormat="1" ht="24.75" customHeight="1" x14ac:dyDescent="0.2">
      <c r="B84" s="29"/>
      <c r="C84" s="31" t="s">
        <v>278</v>
      </c>
      <c r="D84" s="32" t="s">
        <v>135</v>
      </c>
      <c r="E84" s="34" t="s">
        <v>136</v>
      </c>
      <c r="F84" s="32" t="s">
        <v>137</v>
      </c>
      <c r="G84" s="32" t="s">
        <v>46</v>
      </c>
      <c r="H84" s="33" t="s">
        <v>47</v>
      </c>
      <c r="I84" s="32"/>
    </row>
    <row r="85" spans="2:9" s="19" customFormat="1" ht="24" customHeight="1" x14ac:dyDescent="0.2">
      <c r="B85" s="30"/>
      <c r="C85" s="67" t="s">
        <v>138</v>
      </c>
      <c r="D85" s="68"/>
      <c r="E85" s="68"/>
      <c r="F85" s="68"/>
      <c r="G85" s="68"/>
      <c r="H85" s="68"/>
      <c r="I85" s="69"/>
    </row>
    <row r="86" spans="2:9" s="19" customFormat="1" ht="24" customHeight="1" x14ac:dyDescent="0.2">
      <c r="B86" s="29"/>
      <c r="C86" s="31" t="s">
        <v>279</v>
      </c>
      <c r="D86" s="32" t="s">
        <v>139</v>
      </c>
      <c r="E86" s="34" t="s">
        <v>140</v>
      </c>
      <c r="F86" s="32" t="s">
        <v>141</v>
      </c>
      <c r="G86" s="32" t="s">
        <v>46</v>
      </c>
      <c r="H86" s="33" t="s">
        <v>47</v>
      </c>
      <c r="I86" s="32"/>
    </row>
    <row r="87" spans="2:9" s="19" customFormat="1" ht="24" customHeight="1" x14ac:dyDescent="0.2">
      <c r="B87" s="29"/>
      <c r="C87" s="31" t="s">
        <v>280</v>
      </c>
      <c r="D87" s="32" t="s">
        <v>142</v>
      </c>
      <c r="E87" s="34" t="s">
        <v>143</v>
      </c>
      <c r="F87" s="32" t="s">
        <v>144</v>
      </c>
      <c r="G87" s="32" t="s">
        <v>46</v>
      </c>
      <c r="H87" s="33" t="s">
        <v>47</v>
      </c>
      <c r="I87" s="32"/>
    </row>
    <row r="88" spans="2:9" s="19" customFormat="1" ht="24" customHeight="1" x14ac:dyDescent="0.2">
      <c r="B88" s="29"/>
      <c r="C88" s="31" t="s">
        <v>281</v>
      </c>
      <c r="D88" s="32" t="s">
        <v>145</v>
      </c>
      <c r="E88" s="34" t="s">
        <v>76</v>
      </c>
      <c r="F88" s="32" t="s">
        <v>77</v>
      </c>
      <c r="G88" s="32" t="s">
        <v>46</v>
      </c>
      <c r="H88" s="33" t="s">
        <v>47</v>
      </c>
      <c r="I88" s="32"/>
    </row>
    <row r="89" spans="2:9" s="19" customFormat="1" ht="24.75" customHeight="1" x14ac:dyDescent="0.2">
      <c r="B89" s="29"/>
      <c r="C89" s="31" t="s">
        <v>282</v>
      </c>
      <c r="D89" s="32" t="s">
        <v>146</v>
      </c>
      <c r="E89" s="34" t="s">
        <v>147</v>
      </c>
      <c r="F89" s="32" t="s">
        <v>148</v>
      </c>
      <c r="G89" s="32" t="s">
        <v>46</v>
      </c>
      <c r="H89" s="33" t="s">
        <v>47</v>
      </c>
      <c r="I89" s="32"/>
    </row>
    <row r="90" spans="2:9" s="19" customFormat="1" ht="24" customHeight="1" x14ac:dyDescent="0.2">
      <c r="B90" s="30"/>
      <c r="C90" s="67" t="s">
        <v>149</v>
      </c>
      <c r="D90" s="68"/>
      <c r="E90" s="68"/>
      <c r="F90" s="68"/>
      <c r="G90" s="68"/>
      <c r="H90" s="68"/>
      <c r="I90" s="69"/>
    </row>
    <row r="91" spans="2:9" s="19" customFormat="1" ht="23.25" customHeight="1" x14ac:dyDescent="0.2">
      <c r="B91" s="29"/>
      <c r="C91" s="31" t="s">
        <v>283</v>
      </c>
      <c r="D91" s="32" t="s">
        <v>150</v>
      </c>
      <c r="E91" s="34" t="s">
        <v>151</v>
      </c>
      <c r="F91" s="32" t="s">
        <v>152</v>
      </c>
      <c r="G91" s="32" t="s">
        <v>46</v>
      </c>
      <c r="H91" s="33" t="s">
        <v>47</v>
      </c>
      <c r="I91" s="32"/>
    </row>
    <row r="92" spans="2:9" s="19" customFormat="1" ht="24" customHeight="1" x14ac:dyDescent="0.2">
      <c r="B92" s="29"/>
      <c r="C92" s="31" t="s">
        <v>284</v>
      </c>
      <c r="D92" s="32" t="s">
        <v>153</v>
      </c>
      <c r="E92" s="34" t="s">
        <v>154</v>
      </c>
      <c r="F92" s="32" t="s">
        <v>155</v>
      </c>
      <c r="G92" s="32" t="s">
        <v>46</v>
      </c>
      <c r="H92" s="33" t="s">
        <v>47</v>
      </c>
      <c r="I92" s="32"/>
    </row>
    <row r="93" spans="2:9" s="19" customFormat="1" ht="24" customHeight="1" x14ac:dyDescent="0.2">
      <c r="B93" s="29"/>
      <c r="C93" s="31" t="s">
        <v>285</v>
      </c>
      <c r="D93" s="32" t="s">
        <v>156</v>
      </c>
      <c r="E93" s="34" t="s">
        <v>157</v>
      </c>
      <c r="F93" s="32" t="s">
        <v>158</v>
      </c>
      <c r="G93" s="32" t="s">
        <v>46</v>
      </c>
      <c r="H93" s="33" t="s">
        <v>47</v>
      </c>
      <c r="I93" s="32"/>
    </row>
    <row r="94" spans="2:9" s="19" customFormat="1" ht="23.25" customHeight="1" x14ac:dyDescent="0.2">
      <c r="B94" s="29"/>
      <c r="C94" s="31" t="s">
        <v>286</v>
      </c>
      <c r="D94" s="32" t="s">
        <v>159</v>
      </c>
      <c r="E94" s="34" t="s">
        <v>160</v>
      </c>
      <c r="F94" s="32" t="s">
        <v>161</v>
      </c>
      <c r="G94" s="32" t="s">
        <v>46</v>
      </c>
      <c r="H94" s="33" t="s">
        <v>47</v>
      </c>
      <c r="I94" s="32"/>
    </row>
    <row r="95" spans="2:9" s="19" customFormat="1" ht="23.25" customHeight="1" x14ac:dyDescent="0.2">
      <c r="B95" s="29"/>
      <c r="C95" s="31" t="s">
        <v>287</v>
      </c>
      <c r="D95" s="32" t="s">
        <v>162</v>
      </c>
      <c r="E95" s="34" t="s">
        <v>163</v>
      </c>
      <c r="F95" s="32" t="s">
        <v>164</v>
      </c>
      <c r="G95" s="32" t="s">
        <v>46</v>
      </c>
      <c r="H95" s="33" t="s">
        <v>47</v>
      </c>
      <c r="I95" s="32"/>
    </row>
    <row r="96" spans="2:9" s="19" customFormat="1" ht="24.75" customHeight="1" x14ac:dyDescent="0.2">
      <c r="B96" s="29"/>
      <c r="C96" s="31" t="s">
        <v>288</v>
      </c>
      <c r="D96" s="32" t="s">
        <v>165</v>
      </c>
      <c r="E96" s="34" t="s">
        <v>166</v>
      </c>
      <c r="F96" s="32" t="s">
        <v>167</v>
      </c>
      <c r="G96" s="32" t="s">
        <v>46</v>
      </c>
      <c r="H96" s="33" t="s">
        <v>47</v>
      </c>
      <c r="I96" s="32"/>
    </row>
    <row r="97" spans="1:9" s="19" customFormat="1" ht="24" customHeight="1" x14ac:dyDescent="0.2">
      <c r="B97" s="30"/>
      <c r="C97" s="67" t="s">
        <v>168</v>
      </c>
      <c r="D97" s="68"/>
      <c r="E97" s="68"/>
      <c r="F97" s="68"/>
      <c r="G97" s="68"/>
      <c r="H97" s="68"/>
      <c r="I97" s="69"/>
    </row>
    <row r="98" spans="1:9" s="19" customFormat="1" ht="24" customHeight="1" x14ac:dyDescent="0.2">
      <c r="B98" s="29"/>
      <c r="C98" s="31" t="s">
        <v>289</v>
      </c>
      <c r="D98" s="32" t="s">
        <v>169</v>
      </c>
      <c r="E98" s="34" t="s">
        <v>170</v>
      </c>
      <c r="F98" s="32" t="s">
        <v>171</v>
      </c>
      <c r="G98" s="32" t="s">
        <v>46</v>
      </c>
      <c r="H98" s="33" t="s">
        <v>47</v>
      </c>
      <c r="I98" s="32"/>
    </row>
    <row r="99" spans="1:9" s="19" customFormat="1" ht="24" customHeight="1" x14ac:dyDescent="0.2">
      <c r="B99" s="29"/>
      <c r="C99" s="31" t="s">
        <v>290</v>
      </c>
      <c r="D99" s="32" t="s">
        <v>172</v>
      </c>
      <c r="E99" s="34" t="s">
        <v>173</v>
      </c>
      <c r="F99" s="32" t="s">
        <v>174</v>
      </c>
      <c r="G99" s="32" t="s">
        <v>46</v>
      </c>
      <c r="H99" s="33" t="s">
        <v>47</v>
      </c>
      <c r="I99" s="32"/>
    </row>
    <row r="100" spans="1:9" s="19" customFormat="1" ht="24.75" customHeight="1" x14ac:dyDescent="0.2">
      <c r="B100" s="30"/>
      <c r="C100" s="67" t="s">
        <v>175</v>
      </c>
      <c r="D100" s="68"/>
      <c r="E100" s="68"/>
      <c r="F100" s="68"/>
      <c r="G100" s="68"/>
      <c r="H100" s="68"/>
      <c r="I100" s="69"/>
    </row>
    <row r="101" spans="1:9" s="19" customFormat="1" ht="24.75" customHeight="1" x14ac:dyDescent="0.2">
      <c r="B101" s="29"/>
      <c r="C101" s="31" t="s">
        <v>291</v>
      </c>
      <c r="D101" s="32" t="s">
        <v>176</v>
      </c>
      <c r="E101" s="34" t="s">
        <v>177</v>
      </c>
      <c r="F101" s="32" t="s">
        <v>178</v>
      </c>
      <c r="G101" s="32" t="s">
        <v>46</v>
      </c>
      <c r="H101" s="33" t="s">
        <v>47</v>
      </c>
      <c r="I101" s="32"/>
    </row>
    <row r="102" spans="1:9" s="19" customFormat="1" ht="24" customHeight="1" x14ac:dyDescent="0.2">
      <c r="B102" s="29"/>
      <c r="C102" s="31" t="s">
        <v>292</v>
      </c>
      <c r="D102" s="32" t="s">
        <v>179</v>
      </c>
      <c r="E102" s="34" t="s">
        <v>180</v>
      </c>
      <c r="F102" s="32" t="s">
        <v>181</v>
      </c>
      <c r="G102" s="32" t="s">
        <v>46</v>
      </c>
      <c r="H102" s="33" t="s">
        <v>47</v>
      </c>
      <c r="I102" s="32"/>
    </row>
    <row r="103" spans="1:9" s="19" customFormat="1" ht="24.75" customHeight="1" x14ac:dyDescent="0.2">
      <c r="B103" s="29"/>
      <c r="C103" s="31" t="s">
        <v>293</v>
      </c>
      <c r="D103" s="32" t="s">
        <v>182</v>
      </c>
      <c r="E103" s="34" t="s">
        <v>183</v>
      </c>
      <c r="F103" s="32" t="s">
        <v>184</v>
      </c>
      <c r="G103" s="32" t="s">
        <v>46</v>
      </c>
      <c r="H103" s="33" t="s">
        <v>47</v>
      </c>
      <c r="I103" s="32"/>
    </row>
    <row r="104" spans="1:9" ht="24" customHeight="1" x14ac:dyDescent="0.25">
      <c r="A104" s="19"/>
      <c r="B104" s="29"/>
      <c r="C104" s="31" t="s">
        <v>294</v>
      </c>
      <c r="D104" s="32" t="s">
        <v>185</v>
      </c>
      <c r="E104" s="34" t="s">
        <v>186</v>
      </c>
      <c r="F104" s="32" t="s">
        <v>187</v>
      </c>
      <c r="G104" s="32" t="s">
        <v>46</v>
      </c>
      <c r="H104" s="33" t="s">
        <v>47</v>
      </c>
      <c r="I104" s="32"/>
    </row>
    <row r="105" spans="1:9" ht="24.75" customHeight="1" x14ac:dyDescent="0.25">
      <c r="A105" s="19"/>
      <c r="B105" s="30"/>
      <c r="C105" s="67" t="s">
        <v>188</v>
      </c>
      <c r="D105" s="68"/>
      <c r="E105" s="68"/>
      <c r="F105" s="68"/>
      <c r="G105" s="68"/>
      <c r="H105" s="68"/>
      <c r="I105" s="69"/>
    </row>
    <row r="106" spans="1:9" x14ac:dyDescent="0.25">
      <c r="A106" s="19"/>
      <c r="B106" s="29"/>
      <c r="C106" s="31" t="s">
        <v>295</v>
      </c>
      <c r="D106" s="32" t="s">
        <v>189</v>
      </c>
      <c r="E106" s="34" t="s">
        <v>190</v>
      </c>
      <c r="F106" s="32" t="s">
        <v>191</v>
      </c>
      <c r="G106" s="32" t="s">
        <v>46</v>
      </c>
      <c r="H106" s="33" t="s">
        <v>47</v>
      </c>
      <c r="I106" s="32"/>
    </row>
    <row r="107" spans="1:9" s="11" customFormat="1" ht="22.5" customHeight="1" x14ac:dyDescent="0.2">
      <c r="A107" s="19"/>
      <c r="B107" s="29"/>
      <c r="C107" s="31" t="s">
        <v>296</v>
      </c>
      <c r="D107" s="32" t="s">
        <v>192</v>
      </c>
      <c r="E107" s="34" t="s">
        <v>193</v>
      </c>
      <c r="F107" s="32" t="s">
        <v>194</v>
      </c>
      <c r="G107" s="32" t="s">
        <v>46</v>
      </c>
      <c r="H107" s="33" t="s">
        <v>47</v>
      </c>
      <c r="I107" s="32"/>
    </row>
    <row r="108" spans="1:9" ht="24" customHeight="1" x14ac:dyDescent="0.25">
      <c r="A108" s="19"/>
      <c r="B108" s="29"/>
      <c r="C108" s="31" t="s">
        <v>297</v>
      </c>
      <c r="D108" s="32" t="s">
        <v>195</v>
      </c>
      <c r="E108" s="34" t="s">
        <v>196</v>
      </c>
      <c r="F108" s="32" t="s">
        <v>197</v>
      </c>
      <c r="G108" s="32" t="s">
        <v>46</v>
      </c>
      <c r="H108" s="33" t="s">
        <v>47</v>
      </c>
      <c r="I108" s="32"/>
    </row>
    <row r="109" spans="1:9" ht="24" customHeight="1" x14ac:dyDescent="0.25">
      <c r="A109" s="19"/>
      <c r="B109" s="30"/>
      <c r="C109" s="67" t="s">
        <v>110</v>
      </c>
      <c r="D109" s="68"/>
      <c r="E109" s="68"/>
      <c r="F109" s="68"/>
      <c r="G109" s="68"/>
      <c r="H109" s="68"/>
      <c r="I109" s="69"/>
    </row>
    <row r="110" spans="1:9" ht="24" customHeight="1" x14ac:dyDescent="0.25">
      <c r="B110" s="29"/>
      <c r="C110" s="31" t="s">
        <v>298</v>
      </c>
      <c r="D110" s="32" t="s">
        <v>198</v>
      </c>
      <c r="E110" s="34" t="s">
        <v>199</v>
      </c>
      <c r="F110" s="32" t="s">
        <v>113</v>
      </c>
      <c r="G110" s="32" t="s">
        <v>46</v>
      </c>
      <c r="H110" s="33" t="s">
        <v>47</v>
      </c>
      <c r="I110" s="32"/>
    </row>
    <row r="111" spans="1:9" ht="24.75" customHeight="1" x14ac:dyDescent="0.25">
      <c r="B111" s="30"/>
      <c r="C111" s="67" t="s">
        <v>200</v>
      </c>
      <c r="D111" s="68"/>
      <c r="E111" s="68"/>
      <c r="F111" s="68"/>
      <c r="G111" s="68"/>
      <c r="H111" s="68"/>
      <c r="I111" s="69"/>
    </row>
    <row r="112" spans="1:9" ht="24" customHeight="1" x14ac:dyDescent="0.25">
      <c r="B112" s="29"/>
      <c r="C112" s="31" t="s">
        <v>299</v>
      </c>
      <c r="D112" s="32" t="s">
        <v>201</v>
      </c>
      <c r="E112" s="34" t="s">
        <v>202</v>
      </c>
      <c r="F112" s="32" t="s">
        <v>203</v>
      </c>
      <c r="G112" s="32" t="s">
        <v>46</v>
      </c>
      <c r="H112" s="33" t="s">
        <v>47</v>
      </c>
      <c r="I112" s="32"/>
    </row>
    <row r="113" spans="1:9" ht="24" customHeight="1" x14ac:dyDescent="0.25">
      <c r="A113" s="11"/>
      <c r="B113" s="29"/>
      <c r="C113" s="31" t="s">
        <v>300</v>
      </c>
      <c r="D113" s="32" t="s">
        <v>204</v>
      </c>
      <c r="E113" s="34" t="s">
        <v>205</v>
      </c>
      <c r="F113" s="32" t="s">
        <v>206</v>
      </c>
      <c r="G113" s="32" t="s">
        <v>46</v>
      </c>
      <c r="H113" s="33" t="s">
        <v>47</v>
      </c>
      <c r="I113" s="32"/>
    </row>
    <row r="114" spans="1:9" ht="24" customHeight="1" x14ac:dyDescent="0.25">
      <c r="B114" s="29"/>
      <c r="C114" s="31" t="s">
        <v>301</v>
      </c>
      <c r="D114" s="32" t="s">
        <v>207</v>
      </c>
      <c r="E114" s="34" t="s">
        <v>208</v>
      </c>
      <c r="F114" s="32" t="s">
        <v>209</v>
      </c>
      <c r="G114" s="32" t="s">
        <v>46</v>
      </c>
      <c r="H114" s="33" t="s">
        <v>47</v>
      </c>
      <c r="I114" s="32"/>
    </row>
    <row r="115" spans="1:9" ht="24" customHeight="1" x14ac:dyDescent="0.25">
      <c r="B115" s="29"/>
      <c r="C115" s="31" t="s">
        <v>302</v>
      </c>
      <c r="D115" s="32" t="s">
        <v>210</v>
      </c>
      <c r="E115" s="34" t="s">
        <v>211</v>
      </c>
      <c r="F115" s="32" t="s">
        <v>212</v>
      </c>
      <c r="G115" s="32" t="s">
        <v>46</v>
      </c>
      <c r="H115" s="33" t="s">
        <v>47</v>
      </c>
      <c r="I115" s="32"/>
    </row>
    <row r="116" spans="1:9" x14ac:dyDescent="0.25">
      <c r="C116" s="19"/>
      <c r="D116" s="20"/>
      <c r="E116" s="23"/>
      <c r="F116" s="20"/>
      <c r="G116" s="20"/>
      <c r="H116" s="19"/>
      <c r="I116" s="20"/>
    </row>
    <row r="117" spans="1:9" x14ac:dyDescent="0.25">
      <c r="B117" s="18" t="s">
        <v>23</v>
      </c>
      <c r="C117" s="19"/>
      <c r="D117" s="20"/>
      <c r="E117" s="23"/>
      <c r="F117" s="20"/>
      <c r="G117" s="20"/>
      <c r="H117" s="19"/>
      <c r="I117" s="20"/>
    </row>
    <row r="118" spans="1:9" x14ac:dyDescent="0.25">
      <c r="B118" s="70" t="s">
        <v>24</v>
      </c>
      <c r="C118" s="71">
        <f>COUNTIF(H34:H115,"Passed")</f>
        <v>0</v>
      </c>
      <c r="D118" s="72"/>
      <c r="E118" s="73"/>
      <c r="F118" s="72"/>
      <c r="G118" s="72"/>
      <c r="H118" s="74"/>
      <c r="I118" s="75"/>
    </row>
    <row r="119" spans="1:9" x14ac:dyDescent="0.25">
      <c r="B119" s="76" t="s">
        <v>25</v>
      </c>
      <c r="C119" s="77">
        <f>COUNTIF(H34:H115,"Bug")</f>
        <v>0</v>
      </c>
      <c r="D119" s="78"/>
      <c r="E119" s="79"/>
      <c r="F119" s="78"/>
      <c r="G119" s="78"/>
      <c r="H119" s="22"/>
      <c r="I119" s="80"/>
    </row>
    <row r="120" spans="1:9" x14ac:dyDescent="0.25">
      <c r="B120" s="81" t="s">
        <v>26</v>
      </c>
      <c r="C120" s="77">
        <f>COUNTIF(H34:H115,"Enhancement")</f>
        <v>0</v>
      </c>
      <c r="D120" s="78"/>
      <c r="E120" s="79"/>
      <c r="F120" s="78"/>
      <c r="G120" s="78"/>
      <c r="H120" s="22"/>
      <c r="I120" s="80"/>
    </row>
    <row r="121" spans="1:9" x14ac:dyDescent="0.25">
      <c r="B121" s="82" t="s">
        <v>47</v>
      </c>
      <c r="C121" s="90">
        <f>COUNTIF(H36:H115,"Not Run")</f>
        <v>61</v>
      </c>
      <c r="D121" s="43"/>
      <c r="E121" s="43"/>
      <c r="F121" s="43"/>
      <c r="G121" s="44"/>
      <c r="H121" s="43"/>
      <c r="I121" s="83"/>
    </row>
    <row r="122" spans="1:9" x14ac:dyDescent="0.25">
      <c r="B122" s="84" t="s">
        <v>27</v>
      </c>
      <c r="C122" s="85">
        <v>61</v>
      </c>
      <c r="D122" s="86"/>
      <c r="E122" s="87"/>
      <c r="F122" s="86"/>
      <c r="G122" s="86"/>
      <c r="H122" s="88"/>
      <c r="I122" s="89"/>
    </row>
    <row r="124" spans="1:9" x14ac:dyDescent="0.25">
      <c r="B124" s="4" t="s">
        <v>28</v>
      </c>
    </row>
    <row r="126" spans="1:9" x14ac:dyDescent="0.25">
      <c r="B126" s="5" t="s">
        <v>29</v>
      </c>
      <c r="C126" s="24"/>
      <c r="D126" s="6"/>
      <c r="E126" s="6" t="s">
        <v>30</v>
      </c>
      <c r="F126" s="6"/>
      <c r="G126" s="9"/>
      <c r="H126" s="25"/>
      <c r="I126" s="10" t="s">
        <v>31</v>
      </c>
    </row>
    <row r="127" spans="1:9" x14ac:dyDescent="0.25">
      <c r="B127" s="17"/>
      <c r="C127" s="59" t="s">
        <v>32</v>
      </c>
      <c r="D127" s="60"/>
      <c r="E127" s="60"/>
      <c r="F127" s="60"/>
      <c r="G127" s="60"/>
      <c r="H127" s="61"/>
      <c r="I127" s="26"/>
    </row>
    <row r="128" spans="1:9" x14ac:dyDescent="0.25">
      <c r="A128" s="43"/>
      <c r="B128" s="17"/>
      <c r="C128" s="59" t="s">
        <v>33</v>
      </c>
      <c r="D128" s="60"/>
      <c r="E128" s="60"/>
      <c r="F128" s="60"/>
      <c r="G128" s="60"/>
      <c r="H128" s="61"/>
      <c r="I128" s="26"/>
    </row>
    <row r="129" spans="1:9" x14ac:dyDescent="0.25">
      <c r="A129" s="43"/>
      <c r="B129" s="17"/>
      <c r="C129" s="47"/>
      <c r="D129" s="39"/>
      <c r="E129" s="39"/>
      <c r="F129" s="39"/>
      <c r="G129" s="39"/>
      <c r="H129" s="42"/>
      <c r="I129" s="26"/>
    </row>
    <row r="130" spans="1:9" x14ac:dyDescent="0.25">
      <c r="A130" s="43"/>
      <c r="B130" s="17"/>
      <c r="C130" s="47"/>
      <c r="D130" s="39"/>
      <c r="E130" s="39"/>
      <c r="F130" s="39"/>
      <c r="G130" s="39"/>
      <c r="H130" s="42"/>
      <c r="I130" s="26"/>
    </row>
    <row r="131" spans="1:9" x14ac:dyDescent="0.25">
      <c r="A131" s="43"/>
      <c r="B131" s="17"/>
      <c r="C131" s="47"/>
      <c r="D131" s="39"/>
      <c r="E131" s="39"/>
      <c r="F131" s="39"/>
      <c r="G131" s="39"/>
      <c r="H131" s="42"/>
      <c r="I131" s="26"/>
    </row>
    <row r="132" spans="1:9" x14ac:dyDescent="0.25">
      <c r="A132" s="43"/>
      <c r="B132" s="17"/>
      <c r="C132" s="47"/>
      <c r="D132" s="39"/>
      <c r="E132" s="39"/>
      <c r="F132" s="39"/>
      <c r="G132" s="39"/>
      <c r="H132" s="42"/>
      <c r="I132" s="26"/>
    </row>
    <row r="133" spans="1:9" x14ac:dyDescent="0.25">
      <c r="A133" s="43"/>
      <c r="B133" s="17"/>
      <c r="C133" s="47"/>
      <c r="D133" s="39"/>
      <c r="E133" s="39"/>
      <c r="F133" s="39"/>
      <c r="G133" s="39"/>
      <c r="H133" s="42"/>
      <c r="I133" s="26"/>
    </row>
    <row r="134" spans="1:9" x14ac:dyDescent="0.25">
      <c r="A134" s="43"/>
      <c r="B134" s="17"/>
      <c r="C134" s="47"/>
      <c r="D134" s="39"/>
      <c r="E134" s="39"/>
      <c r="F134" s="39"/>
      <c r="G134" s="39"/>
      <c r="H134" s="42"/>
      <c r="I134" s="26"/>
    </row>
    <row r="135" spans="1:9" x14ac:dyDescent="0.25">
      <c r="A135" s="43"/>
      <c r="B135" s="17"/>
      <c r="C135" s="47"/>
      <c r="D135" s="39"/>
      <c r="E135" s="39"/>
      <c r="F135" s="39"/>
      <c r="G135" s="39"/>
      <c r="H135" s="42"/>
      <c r="I135" s="26"/>
    </row>
    <row r="136" spans="1:9" x14ac:dyDescent="0.25">
      <c r="A136" s="43"/>
      <c r="B136" s="17"/>
      <c r="C136" s="47"/>
      <c r="D136" s="39"/>
      <c r="E136" s="39"/>
      <c r="F136" s="39"/>
      <c r="G136" s="39"/>
      <c r="H136" s="42"/>
      <c r="I136" s="26"/>
    </row>
    <row r="137" spans="1:9" x14ac:dyDescent="0.25">
      <c r="A137" s="43"/>
      <c r="B137" s="43"/>
      <c r="C137" s="43"/>
      <c r="D137" s="45"/>
      <c r="E137" s="43"/>
      <c r="F137" s="43"/>
      <c r="G137" s="46"/>
      <c r="H137" s="43"/>
      <c r="I137" s="44"/>
    </row>
    <row r="138" spans="1:9" x14ac:dyDescent="0.25">
      <c r="A138" s="43"/>
      <c r="B138" s="43"/>
      <c r="C138" s="43"/>
      <c r="D138" s="45"/>
      <c r="E138" s="43"/>
      <c r="F138" s="43"/>
      <c r="G138" s="46"/>
      <c r="H138" s="43"/>
      <c r="I138" s="44"/>
    </row>
    <row r="139" spans="1:9" x14ac:dyDescent="0.25">
      <c r="A139" s="43"/>
      <c r="B139" s="43"/>
      <c r="C139" s="43"/>
      <c r="D139" s="45"/>
      <c r="E139" s="43"/>
      <c r="F139" s="43"/>
      <c r="G139" s="46"/>
      <c r="H139" s="43"/>
      <c r="I139" s="44"/>
    </row>
    <row r="140" spans="1:9" x14ac:dyDescent="0.25">
      <c r="A140" s="43"/>
      <c r="B140" s="43"/>
      <c r="C140" s="43"/>
      <c r="D140" s="45"/>
      <c r="E140" s="43"/>
      <c r="F140" s="43"/>
      <c r="G140" s="46"/>
      <c r="H140" s="43"/>
      <c r="I140" s="44"/>
    </row>
    <row r="141" spans="1:9" x14ac:dyDescent="0.25">
      <c r="A141" s="43"/>
      <c r="B141" s="43"/>
      <c r="C141" s="43"/>
      <c r="D141" s="45"/>
      <c r="E141" s="43"/>
      <c r="F141" s="43"/>
      <c r="G141" s="46"/>
      <c r="H141" s="43"/>
      <c r="I141" s="44"/>
    </row>
    <row r="142" spans="1:9" x14ac:dyDescent="0.25">
      <c r="A142" s="43"/>
      <c r="B142" s="43"/>
      <c r="C142" s="43"/>
      <c r="D142" s="43"/>
      <c r="E142" s="43"/>
      <c r="F142" s="43"/>
      <c r="G142" s="44"/>
      <c r="H142" s="43"/>
      <c r="I142" s="44"/>
    </row>
    <row r="143" spans="1:9" x14ac:dyDescent="0.25">
      <c r="A143" s="43"/>
      <c r="B143" s="43"/>
      <c r="C143" s="43"/>
      <c r="D143" s="43"/>
      <c r="E143" s="43"/>
      <c r="F143" s="43"/>
      <c r="G143" s="44"/>
      <c r="H143" s="43"/>
      <c r="I143" s="44"/>
    </row>
  </sheetData>
  <mergeCells count="5">
    <mergeCell ref="C128:H128"/>
    <mergeCell ref="C15:D15"/>
    <mergeCell ref="C17:D17"/>
    <mergeCell ref="C18:D18"/>
    <mergeCell ref="C127:H127"/>
  </mergeCells>
  <phoneticPr fontId="9" type="noConversion"/>
  <conditionalFormatting sqref="H36:H44">
    <cfRule type="cellIs" dxfId="29" priority="1" operator="equal">
      <formula>"Enhancement"</formula>
    </cfRule>
    <cfRule type="cellIs" dxfId="28" priority="2" operator="equal">
      <formula>"Bug"</formula>
    </cfRule>
    <cfRule type="cellIs" dxfId="27" priority="3" operator="equal">
      <formula>"Passed"</formula>
    </cfRule>
  </conditionalFormatting>
  <conditionalFormatting sqref="H46:H47">
    <cfRule type="cellIs" dxfId="26" priority="28" operator="equal">
      <formula>"Enhancement"</formula>
    </cfRule>
    <cfRule type="cellIs" dxfId="25" priority="29" operator="equal">
      <formula>"Bug"</formula>
    </cfRule>
    <cfRule type="cellIs" dxfId="24" priority="30" operator="equal">
      <formula>"Passed"</formula>
    </cfRule>
  </conditionalFormatting>
  <conditionalFormatting sqref="H49:H50 H52:H54 H56:H59 H61:H64 H66:H68 H70:H71 H73 H76:H77 H79:H80 H82:H84">
    <cfRule type="cellIs" dxfId="23" priority="37" operator="equal">
      <formula>"Enhancement"</formula>
    </cfRule>
    <cfRule type="cellIs" dxfId="22" priority="38" operator="equal">
      <formula>"Bug"</formula>
    </cfRule>
    <cfRule type="cellIs" dxfId="21" priority="39" operator="equal">
      <formula>"Passed"</formula>
    </cfRule>
  </conditionalFormatting>
  <conditionalFormatting sqref="H86:H89">
    <cfRule type="cellIs" dxfId="20" priority="22" operator="equal">
      <formula>"Enhancement"</formula>
    </cfRule>
    <cfRule type="cellIs" dxfId="19" priority="23" operator="equal">
      <formula>"Bug"</formula>
    </cfRule>
    <cfRule type="cellIs" dxfId="18" priority="24" operator="equal">
      <formula>"Passed"</formula>
    </cfRule>
  </conditionalFormatting>
  <conditionalFormatting sqref="H91:H96">
    <cfRule type="cellIs" dxfId="17" priority="19" operator="equal">
      <formula>"Enhancement"</formula>
    </cfRule>
    <cfRule type="cellIs" dxfId="16" priority="20" operator="equal">
      <formula>"Bug"</formula>
    </cfRule>
    <cfRule type="cellIs" dxfId="15" priority="21" operator="equal">
      <formula>"Passed"</formula>
    </cfRule>
  </conditionalFormatting>
  <conditionalFormatting sqref="H98:H99">
    <cfRule type="cellIs" dxfId="14" priority="16" operator="equal">
      <formula>"Enhancement"</formula>
    </cfRule>
    <cfRule type="cellIs" dxfId="13" priority="17" operator="equal">
      <formula>"Bug"</formula>
    </cfRule>
    <cfRule type="cellIs" dxfId="12" priority="18" operator="equal">
      <formula>"Passed"</formula>
    </cfRule>
  </conditionalFormatting>
  <conditionalFormatting sqref="H101:H104">
    <cfRule type="cellIs" dxfId="11" priority="13" operator="equal">
      <formula>"Enhancement"</formula>
    </cfRule>
    <cfRule type="cellIs" dxfId="10" priority="14" operator="equal">
      <formula>"Bug"</formula>
    </cfRule>
    <cfRule type="cellIs" dxfId="9" priority="15" operator="equal">
      <formula>"Passed"</formula>
    </cfRule>
  </conditionalFormatting>
  <conditionalFormatting sqref="H106:H108">
    <cfRule type="cellIs" dxfId="8" priority="10" operator="equal">
      <formula>"Enhancement"</formula>
    </cfRule>
    <cfRule type="cellIs" dxfId="7" priority="11" operator="equal">
      <formula>"Bug"</formula>
    </cfRule>
    <cfRule type="cellIs" dxfId="6" priority="12" operator="equal">
      <formula>"Passed"</formula>
    </cfRule>
  </conditionalFormatting>
  <conditionalFormatting sqref="H110">
    <cfRule type="cellIs" dxfId="5" priority="7" operator="equal">
      <formula>"Enhancement"</formula>
    </cfRule>
    <cfRule type="cellIs" dxfId="4" priority="8" operator="equal">
      <formula>"Bug"</formula>
    </cfRule>
    <cfRule type="cellIs" dxfId="3" priority="9" operator="equal">
      <formula>"Passed"</formula>
    </cfRule>
  </conditionalFormatting>
  <conditionalFormatting sqref="H112:H115">
    <cfRule type="cellIs" dxfId="2" priority="4" operator="equal">
      <formula>"Enhancement"</formula>
    </cfRule>
    <cfRule type="cellIs" dxfId="1" priority="5" operator="equal">
      <formula>"Bug"</formula>
    </cfRule>
    <cfRule type="cellIs" dxfId="0" priority="6" operator="equal">
      <formula>"Passed"</formula>
    </cfRule>
  </conditionalFormatting>
  <dataValidations count="3">
    <dataValidation type="list" allowBlank="1" showInputMessage="1" showErrorMessage="1" sqref="H82:H84 H52:H54 H56:H59 H61:H64 H66:H68 H70:H71 H73 H76:H77 H79:H80 H49:H50 H46:H47 H86:H89 H91:H96 H98:H99 H101:H104 H106:H108 H110 H112:H115 H36:H44" xr:uid="{BDBA6282-4765-489B-93E7-65D71E76465D}">
      <formula1>"Passed, Bug, Enhancement, Not Run"</formula1>
    </dataValidation>
    <dataValidation type="list" allowBlank="1" showInputMessage="1" showErrorMessage="1" sqref="G49:G50 G46:G47 G52:G54 G56:G59 G61:G64 G66:G68 G70:G71 G73 G76:G77 G79:G80 G82:G84 G86:G89 G91:G96 G98:G99 G101:G104 G106:G108 G110 G112:G115 G36:G44" xr:uid="{E54512C9-0CEF-4C9C-8752-7E223655C5A8}">
      <formula1>"Belum diuji, Sudah diuji"</formula1>
    </dataValidation>
    <dataValidation type="list" allowBlank="1" showInputMessage="1" showErrorMessage="1" sqref="H116:H120 H122" xr:uid="{00000000-0002-0000-0000-000000000000}">
      <formula1>"Passed, Bug, Enhancement"</formula1>
    </dataValidation>
  </dataValidations>
  <pageMargins left="0.25" right="0.25" top="0.75" bottom="0.75" header="0.3" footer="0.3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Interactive</dc:creator>
  <cp:lastModifiedBy>Steven N</cp:lastModifiedBy>
  <dcterms:created xsi:type="dcterms:W3CDTF">2024-01-21T00:03:19Z</dcterms:created>
  <dcterms:modified xsi:type="dcterms:W3CDTF">2026-04-15T04:14:10Z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